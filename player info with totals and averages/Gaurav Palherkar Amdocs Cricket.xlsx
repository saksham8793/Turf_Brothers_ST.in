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FBA21C34-8337-4C2A-8E6C-9C0FC57C82F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4" l="1"/>
  <c r="J14" i="4"/>
  <c r="K14" i="4"/>
  <c r="H14" i="4"/>
  <c r="G14" i="4"/>
  <c r="F14" i="3"/>
  <c r="G14" i="3"/>
  <c r="H14" i="3"/>
  <c r="I14" i="3"/>
  <c r="J14" i="3"/>
  <c r="K14" i="3"/>
  <c r="L14" i="3"/>
  <c r="M14" i="3"/>
  <c r="E14" i="3"/>
  <c r="P14" i="2"/>
  <c r="N14" i="2"/>
  <c r="M14" i="2"/>
  <c r="L14" i="2"/>
  <c r="K14" i="2"/>
  <c r="J14" i="2"/>
  <c r="G14" i="2"/>
  <c r="H14" i="2"/>
  <c r="I14" i="2"/>
  <c r="F14" i="2"/>
  <c r="N14" i="1"/>
  <c r="O14" i="1"/>
  <c r="P14" i="1"/>
  <c r="Q14" i="1"/>
  <c r="L14" i="1"/>
  <c r="K14" i="1"/>
  <c r="F14" i="1"/>
  <c r="G14" i="1"/>
  <c r="H14" i="1"/>
  <c r="I14" i="1"/>
  <c r="J14" i="1"/>
  <c r="E14" i="1"/>
</calcChain>
</file>

<file path=xl/sharedStrings.xml><?xml version="1.0" encoding="utf-8"?>
<sst xmlns="http://schemas.openxmlformats.org/spreadsheetml/2006/main" count="222" uniqueCount="70">
  <si>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</si>
  <si>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</si>
  <si>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</si>
  <si>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</si>
  <si>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</si>
  <si>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</si>
  <si>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</si>
  <si>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</si>
  <si>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</si>
  <si>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</si>
  <si>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</si>
  <si>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</si>
  <si>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</si>
  <si>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</si>
  <si>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</si>
  <si>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</si>
  <si>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</si>
  <si>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</si>
  <si>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Season</t>
  </si>
  <si>
    <t>Gaurav Palherkar Amdocs Cricket</t>
  </si>
  <si>
    <t>Game Changers</t>
  </si>
  <si>
    <t>RHB</t>
  </si>
  <si>
    <t>S3</t>
  </si>
  <si>
    <t>S4</t>
  </si>
  <si>
    <t>S5</t>
  </si>
  <si>
    <t>Onyx</t>
  </si>
  <si>
    <t>S6</t>
  </si>
  <si>
    <t>Tejas</t>
  </si>
  <si>
    <t>S7</t>
  </si>
  <si>
    <t>AGNI</t>
  </si>
  <si>
    <t>S8</t>
  </si>
  <si>
    <t>Pawansut</t>
  </si>
  <si>
    <t>S9</t>
  </si>
  <si>
    <t>Shinigamis</t>
  </si>
  <si>
    <t>S10</t>
  </si>
  <si>
    <t>7 Akshauhini Sena</t>
  </si>
  <si>
    <t>-</t>
  </si>
  <si>
    <t>S11</t>
  </si>
  <si>
    <t>S12</t>
  </si>
  <si>
    <t>S13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</si>
  <si>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</si>
  <si>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</si>
  <si>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</si>
  <si>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</si>
  <si>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</si>
  <si>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</si>
  <si>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</si>
  <si>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</si>
  <si>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</si>
  <si>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medium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</si>
  <si>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</si>
  <si>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</si>
  <si>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</si>
  <si>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</si>
  <si>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</si>
  <si>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</si>
  <si>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</si>
  <si>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</si>
  <si>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</si>
  <si>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</si>
  <si>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</si>
  <si>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</si>
  <si>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</si>
  <si>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</si>
  <si>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</si>
  <si>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</si>
  <si>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</si>
  <si>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All-Rounder</t>
  </si>
  <si>
    <t>S14</t>
  </si>
  <si>
    <t>The Grenadiers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</si>
</sst>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activeCell="R16" sqref="R1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1423216</v>
      </c>
      <c r="B2" t="s">
        <v>19</v>
      </c>
      <c r="C2">
        <v>3456623</v>
      </c>
      <c r="D2" t="s">
        <v>20</v>
      </c>
      <c r="E2">
        <v>4</v>
      </c>
      <c r="F2">
        <v>4</v>
      </c>
      <c r="G2">
        <v>7</v>
      </c>
      <c r="H2">
        <v>4</v>
      </c>
      <c r="I2">
        <v>2.33</v>
      </c>
      <c r="J2">
        <v>1</v>
      </c>
      <c r="K2">
        <v>46.67</v>
      </c>
      <c r="L2">
        <v>15</v>
      </c>
      <c r="M2" t="s">
        <v>21</v>
      </c>
      <c r="N2">
        <v>0</v>
      </c>
      <c r="O2">
        <v>0</v>
      </c>
      <c r="P2">
        <v>0</v>
      </c>
      <c r="Q2">
        <v>0</v>
      </c>
      <c r="R2">
        <v>3</v>
      </c>
      <c r="S2" t="s">
        <v>22</v>
      </c>
    </row>
    <row r="3" spans="1:19" x14ac:dyDescent="0.3">
      <c r="S3" t="s">
        <v>23</v>
      </c>
    </row>
    <row r="4" spans="1:19" x14ac:dyDescent="0.3">
      <c r="S4" t="s">
        <v>24</v>
      </c>
    </row>
    <row r="5" spans="1:19" x14ac:dyDescent="0.3">
      <c r="A5">
        <v>1423216</v>
      </c>
      <c r="B5" t="s">
        <v>19</v>
      </c>
      <c r="C5">
        <v>4799805</v>
      </c>
      <c r="D5" t="s">
        <v>25</v>
      </c>
      <c r="E5">
        <v>5</v>
      </c>
      <c r="F5">
        <v>3</v>
      </c>
      <c r="G5">
        <v>7</v>
      </c>
      <c r="H5">
        <v>4</v>
      </c>
      <c r="I5">
        <v>3.5</v>
      </c>
      <c r="J5">
        <v>1</v>
      </c>
      <c r="K5">
        <v>58.33</v>
      </c>
      <c r="L5">
        <v>12</v>
      </c>
      <c r="M5" t="s">
        <v>21</v>
      </c>
      <c r="N5">
        <v>0</v>
      </c>
      <c r="O5">
        <v>0</v>
      </c>
      <c r="P5">
        <v>0</v>
      </c>
      <c r="Q5">
        <v>0</v>
      </c>
      <c r="R5">
        <v>6</v>
      </c>
      <c r="S5" t="s">
        <v>26</v>
      </c>
    </row>
    <row r="6" spans="1:19" x14ac:dyDescent="0.3">
      <c r="A6">
        <v>1423216</v>
      </c>
      <c r="B6" t="s">
        <v>19</v>
      </c>
      <c r="C6">
        <v>5007827</v>
      </c>
      <c r="D6" t="s">
        <v>27</v>
      </c>
      <c r="E6">
        <v>6</v>
      </c>
      <c r="F6">
        <v>6</v>
      </c>
      <c r="G6">
        <v>24</v>
      </c>
      <c r="H6">
        <v>13</v>
      </c>
      <c r="I6">
        <v>8</v>
      </c>
      <c r="J6">
        <v>3</v>
      </c>
      <c r="K6">
        <v>92.31</v>
      </c>
      <c r="L6">
        <v>26</v>
      </c>
      <c r="M6" t="s">
        <v>21</v>
      </c>
      <c r="N6">
        <v>1</v>
      </c>
      <c r="O6">
        <v>1</v>
      </c>
      <c r="P6">
        <v>0</v>
      </c>
      <c r="Q6">
        <v>0</v>
      </c>
      <c r="R6">
        <v>7</v>
      </c>
      <c r="S6" t="s">
        <v>28</v>
      </c>
    </row>
    <row r="7" spans="1:19" x14ac:dyDescent="0.3">
      <c r="A7">
        <v>1423216</v>
      </c>
      <c r="B7" t="s">
        <v>19</v>
      </c>
      <c r="C7">
        <v>5522366</v>
      </c>
      <c r="D7" t="s">
        <v>29</v>
      </c>
      <c r="E7">
        <v>5</v>
      </c>
      <c r="F7">
        <v>3</v>
      </c>
      <c r="G7">
        <v>6</v>
      </c>
      <c r="H7">
        <v>6</v>
      </c>
      <c r="I7">
        <v>3</v>
      </c>
      <c r="J7">
        <v>1</v>
      </c>
      <c r="K7">
        <v>75</v>
      </c>
      <c r="L7">
        <v>8</v>
      </c>
      <c r="M7" t="s">
        <v>21</v>
      </c>
      <c r="N7">
        <v>1</v>
      </c>
      <c r="O7">
        <v>0</v>
      </c>
      <c r="P7">
        <v>0</v>
      </c>
      <c r="Q7">
        <v>0</v>
      </c>
      <c r="R7">
        <v>8</v>
      </c>
      <c r="S7" t="s">
        <v>30</v>
      </c>
    </row>
    <row r="8" spans="1:19" x14ac:dyDescent="0.3">
      <c r="A8">
        <v>1423216</v>
      </c>
      <c r="B8" t="s">
        <v>19</v>
      </c>
      <c r="C8">
        <v>6413862</v>
      </c>
      <c r="D8" t="s">
        <v>31</v>
      </c>
      <c r="E8">
        <v>6</v>
      </c>
      <c r="F8">
        <v>4</v>
      </c>
      <c r="G8">
        <v>18</v>
      </c>
      <c r="H8">
        <v>16</v>
      </c>
      <c r="I8">
        <v>9</v>
      </c>
      <c r="J8">
        <v>2</v>
      </c>
      <c r="K8">
        <v>225</v>
      </c>
      <c r="L8">
        <v>8</v>
      </c>
      <c r="M8" t="s">
        <v>21</v>
      </c>
      <c r="N8">
        <v>1</v>
      </c>
      <c r="O8">
        <v>2</v>
      </c>
      <c r="P8">
        <v>0</v>
      </c>
      <c r="Q8">
        <v>0</v>
      </c>
      <c r="R8">
        <v>9</v>
      </c>
      <c r="S8" t="s">
        <v>32</v>
      </c>
    </row>
    <row r="9" spans="1:19" x14ac:dyDescent="0.3">
      <c r="A9">
        <v>1423216</v>
      </c>
      <c r="B9" t="s">
        <v>19</v>
      </c>
      <c r="C9">
        <v>7266214</v>
      </c>
      <c r="D9" t="s">
        <v>33</v>
      </c>
      <c r="E9">
        <v>5</v>
      </c>
      <c r="F9">
        <v>3</v>
      </c>
      <c r="G9">
        <v>10</v>
      </c>
      <c r="H9">
        <v>6</v>
      </c>
      <c r="I9">
        <v>3.33</v>
      </c>
      <c r="J9">
        <v>0</v>
      </c>
      <c r="K9">
        <v>111.11</v>
      </c>
      <c r="L9">
        <v>9</v>
      </c>
      <c r="M9" t="s">
        <v>21</v>
      </c>
      <c r="N9">
        <v>1</v>
      </c>
      <c r="O9">
        <v>1</v>
      </c>
      <c r="P9">
        <v>0</v>
      </c>
      <c r="Q9">
        <v>0</v>
      </c>
      <c r="R9">
        <v>10</v>
      </c>
      <c r="S9" t="s">
        <v>34</v>
      </c>
    </row>
    <row r="10" spans="1:19" x14ac:dyDescent="0.3">
      <c r="A10">
        <v>1423216</v>
      </c>
      <c r="B10" t="s">
        <v>19</v>
      </c>
      <c r="C10">
        <v>7677665</v>
      </c>
      <c r="D10" t="s">
        <v>35</v>
      </c>
      <c r="E10">
        <v>6</v>
      </c>
      <c r="F10">
        <v>3</v>
      </c>
      <c r="G10">
        <v>2</v>
      </c>
      <c r="H10">
        <v>1</v>
      </c>
      <c r="I10" t="s">
        <v>36</v>
      </c>
      <c r="J10">
        <v>3</v>
      </c>
      <c r="K10">
        <v>66.67</v>
      </c>
      <c r="L10">
        <v>3</v>
      </c>
      <c r="M10" t="s">
        <v>21</v>
      </c>
      <c r="N10">
        <v>0</v>
      </c>
      <c r="O10">
        <v>0</v>
      </c>
      <c r="P10">
        <v>0</v>
      </c>
      <c r="Q10">
        <v>0</v>
      </c>
      <c r="R10">
        <v>11</v>
      </c>
      <c r="S10" t="s">
        <v>37</v>
      </c>
    </row>
    <row r="11" spans="1:19" x14ac:dyDescent="0.3">
      <c r="S11" t="s">
        <v>38</v>
      </c>
    </row>
    <row r="12" spans="1:19" x14ac:dyDescent="0.3">
      <c r="S12" t="s">
        <v>39</v>
      </c>
    </row>
    <row r="13" spans="1:19" x14ac:dyDescent="0.3">
      <c r="A13">
        <v>1423216</v>
      </c>
      <c r="B13" t="s">
        <v>19</v>
      </c>
      <c r="C13">
        <v>10234304</v>
      </c>
      <c r="D13" t="s">
        <v>69</v>
      </c>
      <c r="E13">
        <v>7</v>
      </c>
      <c r="F13">
        <v>7</v>
      </c>
      <c r="G13">
        <v>49</v>
      </c>
      <c r="H13">
        <v>19</v>
      </c>
      <c r="I13">
        <v>9.8000000000000007</v>
      </c>
      <c r="J13">
        <v>2</v>
      </c>
      <c r="K13">
        <v>106.52</v>
      </c>
      <c r="L13">
        <v>46</v>
      </c>
      <c r="M13" t="s">
        <v>21</v>
      </c>
      <c r="N13">
        <v>4</v>
      </c>
      <c r="O13">
        <v>3</v>
      </c>
      <c r="P13">
        <v>0</v>
      </c>
      <c r="Q13">
        <v>0</v>
      </c>
      <c r="R13">
        <v>14</v>
      </c>
      <c r="S13" t="s">
        <v>68</v>
      </c>
    </row>
    <row r="14" spans="1:19" x14ac:dyDescent="0.3">
      <c r="E14" s="2">
        <f>SUM(E2:E13)</f>
        <v>44</v>
      </c>
      <c r="F14" s="2">
        <f t="shared" ref="F14:J14" si="0">SUM(F2:F13)</f>
        <v>33</v>
      </c>
      <c r="G14" s="2">
        <f t="shared" si="0"/>
        <v>123</v>
      </c>
      <c r="H14" s="2">
        <f t="shared" si="0"/>
        <v>69</v>
      </c>
      <c r="I14" s="2">
        <f t="shared" si="0"/>
        <v>38.959999999999994</v>
      </c>
      <c r="J14" s="2">
        <f t="shared" si="0"/>
        <v>13</v>
      </c>
      <c r="K14" s="2">
        <f>AVERAGE(K2:K13)</f>
        <v>97.701249999999987</v>
      </c>
      <c r="L14" s="2">
        <f>SUM(L2:L13)</f>
        <v>127</v>
      </c>
      <c r="M14" s="2"/>
      <c r="N14" s="2">
        <f t="shared" ref="M14:Q14" si="1">SUM(N2:N13)</f>
        <v>8</v>
      </c>
      <c r="O14" s="2">
        <f t="shared" si="1"/>
        <v>7</v>
      </c>
      <c r="P14" s="2">
        <f t="shared" si="1"/>
        <v>0</v>
      </c>
      <c r="Q14" s="2">
        <f t="shared" si="1"/>
        <v>0</v>
      </c>
      <c r="R14">
        <v>8</v>
      </c>
    </row>
  </sheetData>
  <pageMargins left="0.75" right="0.75" top="1" bottom="1" header="0.5" footer="0.5"/>
  <ignoredErrors>
    <ignoredError sqref="K1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J19" sqref="J19"/>
    </sheetView>
  </sheetViews>
  <sheetFormatPr defaultRowHeight="14.4" x14ac:dyDescent="0.3"/>
  <sheetData>
    <row r="1" spans="1:17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17</v>
      </c>
    </row>
    <row r="2" spans="1:17" x14ac:dyDescent="0.3">
      <c r="A2" t="s">
        <v>22</v>
      </c>
    </row>
    <row r="3" spans="1:17" x14ac:dyDescent="0.3">
      <c r="A3" t="s">
        <v>23</v>
      </c>
    </row>
    <row r="4" spans="1:17" x14ac:dyDescent="0.3">
      <c r="A4" t="s">
        <v>24</v>
      </c>
    </row>
    <row r="5" spans="1:17" x14ac:dyDescent="0.3">
      <c r="A5" t="s">
        <v>26</v>
      </c>
      <c r="B5">
        <v>1423216</v>
      </c>
      <c r="C5" t="s">
        <v>19</v>
      </c>
      <c r="D5">
        <v>4799805</v>
      </c>
      <c r="E5" t="s">
        <v>25</v>
      </c>
      <c r="F5">
        <v>5</v>
      </c>
      <c r="G5">
        <v>4</v>
      </c>
      <c r="H5">
        <v>2</v>
      </c>
      <c r="I5">
        <v>42</v>
      </c>
      <c r="J5">
        <v>8</v>
      </c>
      <c r="K5">
        <v>21</v>
      </c>
      <c r="L5">
        <v>0</v>
      </c>
      <c r="M5">
        <v>28</v>
      </c>
      <c r="N5">
        <v>56</v>
      </c>
      <c r="O5" t="s">
        <v>49</v>
      </c>
      <c r="P5">
        <v>7</v>
      </c>
      <c r="Q5">
        <v>6</v>
      </c>
    </row>
    <row r="6" spans="1:17" x14ac:dyDescent="0.3">
      <c r="A6" t="s">
        <v>28</v>
      </c>
      <c r="B6">
        <v>1423216</v>
      </c>
      <c r="C6" t="s">
        <v>19</v>
      </c>
      <c r="D6">
        <v>5007827</v>
      </c>
      <c r="E6" t="s">
        <v>27</v>
      </c>
      <c r="F6">
        <v>6</v>
      </c>
      <c r="G6">
        <v>6</v>
      </c>
      <c r="H6">
        <v>2</v>
      </c>
      <c r="I6">
        <v>34</v>
      </c>
      <c r="J6">
        <v>10.94</v>
      </c>
      <c r="K6">
        <v>17</v>
      </c>
      <c r="L6">
        <v>0</v>
      </c>
      <c r="M6">
        <v>31</v>
      </c>
      <c r="N6">
        <v>62</v>
      </c>
      <c r="O6" t="s">
        <v>49</v>
      </c>
      <c r="P6">
        <v>5.4</v>
      </c>
      <c r="Q6">
        <v>7</v>
      </c>
    </row>
    <row r="7" spans="1:17" x14ac:dyDescent="0.3">
      <c r="A7" t="s">
        <v>30</v>
      </c>
      <c r="B7">
        <v>1423216</v>
      </c>
      <c r="C7" t="s">
        <v>19</v>
      </c>
      <c r="D7">
        <v>5522366</v>
      </c>
      <c r="E7" t="s">
        <v>29</v>
      </c>
      <c r="F7">
        <v>5</v>
      </c>
      <c r="G7">
        <v>5</v>
      </c>
      <c r="H7">
        <v>4</v>
      </c>
      <c r="I7">
        <v>54</v>
      </c>
      <c r="J7">
        <v>8.11</v>
      </c>
      <c r="K7">
        <v>13.5</v>
      </c>
      <c r="L7">
        <v>0</v>
      </c>
      <c r="M7">
        <v>18.25</v>
      </c>
      <c r="N7">
        <v>73</v>
      </c>
      <c r="O7" t="s">
        <v>49</v>
      </c>
      <c r="P7">
        <v>9</v>
      </c>
      <c r="Q7">
        <v>8</v>
      </c>
    </row>
    <row r="8" spans="1:17" x14ac:dyDescent="0.3">
      <c r="A8" t="s">
        <v>32</v>
      </c>
      <c r="B8">
        <v>1423216</v>
      </c>
      <c r="C8" t="s">
        <v>19</v>
      </c>
      <c r="D8">
        <v>6413862</v>
      </c>
      <c r="E8" t="s">
        <v>31</v>
      </c>
      <c r="F8">
        <v>6</v>
      </c>
      <c r="G8">
        <v>6</v>
      </c>
      <c r="H8">
        <v>4</v>
      </c>
      <c r="I8">
        <v>54</v>
      </c>
      <c r="J8">
        <v>10.11</v>
      </c>
      <c r="K8">
        <v>13.5</v>
      </c>
      <c r="L8">
        <v>0</v>
      </c>
      <c r="M8">
        <v>22.75</v>
      </c>
      <c r="N8">
        <v>91</v>
      </c>
      <c r="O8" t="s">
        <v>49</v>
      </c>
      <c r="P8">
        <v>9</v>
      </c>
      <c r="Q8">
        <v>9</v>
      </c>
    </row>
    <row r="9" spans="1:17" x14ac:dyDescent="0.3">
      <c r="A9" t="s">
        <v>34</v>
      </c>
      <c r="B9">
        <v>1423216</v>
      </c>
      <c r="C9" t="s">
        <v>19</v>
      </c>
      <c r="D9">
        <v>7266214</v>
      </c>
      <c r="E9" t="s">
        <v>33</v>
      </c>
      <c r="F9">
        <v>5</v>
      </c>
      <c r="G9">
        <v>4</v>
      </c>
      <c r="H9">
        <v>3</v>
      </c>
      <c r="I9">
        <v>24</v>
      </c>
      <c r="J9">
        <v>10.5</v>
      </c>
      <c r="K9">
        <v>8</v>
      </c>
      <c r="L9">
        <v>0</v>
      </c>
      <c r="M9">
        <v>14</v>
      </c>
      <c r="N9">
        <v>42</v>
      </c>
      <c r="O9" t="s">
        <v>49</v>
      </c>
      <c r="P9">
        <v>4</v>
      </c>
      <c r="Q9">
        <v>10</v>
      </c>
    </row>
    <row r="10" spans="1:17" x14ac:dyDescent="0.3">
      <c r="A10" t="s">
        <v>37</v>
      </c>
      <c r="B10">
        <v>1423216</v>
      </c>
      <c r="C10" t="s">
        <v>19</v>
      </c>
      <c r="D10">
        <v>7677665</v>
      </c>
      <c r="E10" t="s">
        <v>35</v>
      </c>
      <c r="F10">
        <v>6</v>
      </c>
      <c r="G10">
        <v>5</v>
      </c>
      <c r="H10">
        <v>1</v>
      </c>
      <c r="I10">
        <v>30</v>
      </c>
      <c r="J10">
        <v>9.8000000000000007</v>
      </c>
      <c r="K10">
        <v>30</v>
      </c>
      <c r="L10">
        <v>0</v>
      </c>
      <c r="M10">
        <v>49</v>
      </c>
      <c r="N10">
        <v>49</v>
      </c>
      <c r="O10" t="s">
        <v>49</v>
      </c>
      <c r="P10">
        <v>5</v>
      </c>
      <c r="Q10">
        <v>11</v>
      </c>
    </row>
    <row r="11" spans="1:17" x14ac:dyDescent="0.3">
      <c r="A11" t="s">
        <v>38</v>
      </c>
    </row>
    <row r="12" spans="1:17" x14ac:dyDescent="0.3">
      <c r="A12" t="s">
        <v>39</v>
      </c>
    </row>
    <row r="13" spans="1:17" x14ac:dyDescent="0.3">
      <c r="A13" t="s">
        <v>68</v>
      </c>
      <c r="B13">
        <v>1423216</v>
      </c>
      <c r="C13" t="s">
        <v>19</v>
      </c>
      <c r="D13">
        <v>10234304</v>
      </c>
      <c r="E13" t="s">
        <v>69</v>
      </c>
      <c r="F13">
        <v>7</v>
      </c>
      <c r="G13">
        <v>7</v>
      </c>
      <c r="H13">
        <v>0</v>
      </c>
      <c r="I13">
        <v>54</v>
      </c>
      <c r="J13">
        <v>7.78</v>
      </c>
      <c r="K13">
        <v>0</v>
      </c>
      <c r="L13">
        <v>0</v>
      </c>
      <c r="M13">
        <v>0</v>
      </c>
      <c r="N13">
        <v>70</v>
      </c>
      <c r="O13" t="s">
        <v>49</v>
      </c>
      <c r="P13">
        <v>9</v>
      </c>
    </row>
    <row r="14" spans="1:17" x14ac:dyDescent="0.3">
      <c r="F14" s="2">
        <f>SUM(F5:F13)</f>
        <v>40</v>
      </c>
      <c r="G14" s="2">
        <f t="shared" ref="G14:I14" si="0">SUM(G5:G13)</f>
        <v>37</v>
      </c>
      <c r="H14" s="2">
        <f t="shared" si="0"/>
        <v>16</v>
      </c>
      <c r="I14" s="2">
        <f t="shared" si="0"/>
        <v>292</v>
      </c>
      <c r="J14" s="2">
        <f>AVERAGE(J5:J13)</f>
        <v>9.3199999999999985</v>
      </c>
      <c r="K14" s="2">
        <f>AVERAGE(K5:K13)</f>
        <v>14.714285714285714</v>
      </c>
      <c r="L14" s="2">
        <f>SUM(L5:L13)</f>
        <v>0</v>
      </c>
      <c r="M14" s="2">
        <f>AVERAGE(M5:M13)</f>
        <v>23.285714285714285</v>
      </c>
      <c r="N14" s="2">
        <f>SUM(N5:N13)</f>
        <v>443</v>
      </c>
      <c r="P14" s="2">
        <f>SUM(P5:P13)</f>
        <v>48.4</v>
      </c>
      <c r="Q14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F20" sqref="F20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17</v>
      </c>
      <c r="O1" s="1" t="s">
        <v>18</v>
      </c>
      <c r="P1" s="1"/>
    </row>
    <row r="2" spans="1:16" x14ac:dyDescent="0.3">
      <c r="A2">
        <v>1423216</v>
      </c>
      <c r="B2" t="s">
        <v>19</v>
      </c>
      <c r="C2">
        <v>3456623</v>
      </c>
      <c r="D2" t="s">
        <v>20</v>
      </c>
      <c r="E2">
        <v>4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2</v>
      </c>
      <c r="M2">
        <v>3</v>
      </c>
      <c r="N2">
        <v>3</v>
      </c>
      <c r="O2" t="s">
        <v>22</v>
      </c>
    </row>
    <row r="3" spans="1:16" x14ac:dyDescent="0.3">
      <c r="O3" t="s">
        <v>23</v>
      </c>
    </row>
    <row r="4" spans="1:16" x14ac:dyDescent="0.3">
      <c r="O4" t="s">
        <v>24</v>
      </c>
    </row>
    <row r="5" spans="1:16" x14ac:dyDescent="0.3">
      <c r="A5">
        <v>1423216</v>
      </c>
      <c r="B5" t="s">
        <v>19</v>
      </c>
      <c r="C5">
        <v>4799805</v>
      </c>
      <c r="D5" t="s">
        <v>25</v>
      </c>
      <c r="E5">
        <v>5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  <c r="N5">
        <v>6</v>
      </c>
      <c r="O5" t="s">
        <v>26</v>
      </c>
    </row>
    <row r="6" spans="1:16" x14ac:dyDescent="0.3">
      <c r="A6">
        <v>1423216</v>
      </c>
      <c r="B6" t="s">
        <v>19</v>
      </c>
      <c r="C6">
        <v>5007827</v>
      </c>
      <c r="D6" t="s">
        <v>27</v>
      </c>
      <c r="E6">
        <v>6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2</v>
      </c>
      <c r="M6">
        <v>3</v>
      </c>
      <c r="N6">
        <v>7</v>
      </c>
      <c r="O6" t="s">
        <v>28</v>
      </c>
    </row>
    <row r="7" spans="1:16" x14ac:dyDescent="0.3">
      <c r="A7">
        <v>1423216</v>
      </c>
      <c r="B7" t="s">
        <v>19</v>
      </c>
      <c r="C7">
        <v>5522366</v>
      </c>
      <c r="D7" t="s">
        <v>29</v>
      </c>
      <c r="E7">
        <v>5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8</v>
      </c>
      <c r="O7" t="s">
        <v>30</v>
      </c>
    </row>
    <row r="8" spans="1:16" x14ac:dyDescent="0.3">
      <c r="A8">
        <v>1423216</v>
      </c>
      <c r="B8" t="s">
        <v>19</v>
      </c>
      <c r="C8">
        <v>6413862</v>
      </c>
      <c r="D8" t="s">
        <v>31</v>
      </c>
      <c r="E8">
        <v>6</v>
      </c>
      <c r="F8">
        <v>1</v>
      </c>
      <c r="G8">
        <v>0</v>
      </c>
      <c r="H8">
        <v>2</v>
      </c>
      <c r="I8">
        <v>0</v>
      </c>
      <c r="J8">
        <v>2</v>
      </c>
      <c r="K8">
        <v>1</v>
      </c>
      <c r="L8">
        <v>2</v>
      </c>
      <c r="M8">
        <v>6</v>
      </c>
      <c r="N8">
        <v>9</v>
      </c>
      <c r="O8" t="s">
        <v>32</v>
      </c>
    </row>
    <row r="9" spans="1:16" x14ac:dyDescent="0.3">
      <c r="A9">
        <v>1423216</v>
      </c>
      <c r="B9" t="s">
        <v>19</v>
      </c>
      <c r="C9">
        <v>7266214</v>
      </c>
      <c r="D9" t="s">
        <v>33</v>
      </c>
      <c r="E9">
        <v>5</v>
      </c>
      <c r="F9">
        <v>2</v>
      </c>
      <c r="G9">
        <v>0</v>
      </c>
      <c r="H9">
        <v>0</v>
      </c>
      <c r="I9">
        <v>0</v>
      </c>
      <c r="J9">
        <v>1</v>
      </c>
      <c r="K9">
        <v>0</v>
      </c>
      <c r="L9">
        <v>2</v>
      </c>
      <c r="M9">
        <v>3</v>
      </c>
      <c r="N9">
        <v>10</v>
      </c>
      <c r="O9" t="s">
        <v>34</v>
      </c>
    </row>
    <row r="10" spans="1:16" x14ac:dyDescent="0.3">
      <c r="A10">
        <v>1423216</v>
      </c>
      <c r="B10" t="s">
        <v>19</v>
      </c>
      <c r="C10">
        <v>7677665</v>
      </c>
      <c r="D10" t="s">
        <v>35</v>
      </c>
      <c r="E10">
        <v>6</v>
      </c>
      <c r="F10">
        <v>3</v>
      </c>
      <c r="G10">
        <v>0</v>
      </c>
      <c r="H10">
        <v>2</v>
      </c>
      <c r="I10">
        <v>0</v>
      </c>
      <c r="J10">
        <v>0</v>
      </c>
      <c r="K10">
        <v>0</v>
      </c>
      <c r="L10">
        <v>3</v>
      </c>
      <c r="M10">
        <v>5</v>
      </c>
      <c r="N10">
        <v>11</v>
      </c>
      <c r="O10" t="s">
        <v>37</v>
      </c>
    </row>
    <row r="11" spans="1:16" x14ac:dyDescent="0.3">
      <c r="O11" t="s">
        <v>38</v>
      </c>
    </row>
    <row r="12" spans="1:16" x14ac:dyDescent="0.3">
      <c r="O12" t="s">
        <v>39</v>
      </c>
    </row>
    <row r="13" spans="1:16" x14ac:dyDescent="0.3">
      <c r="A13">
        <v>1423216</v>
      </c>
      <c r="B13" t="s">
        <v>19</v>
      </c>
      <c r="C13">
        <v>10234304</v>
      </c>
      <c r="D13" t="s">
        <v>69</v>
      </c>
      <c r="E13">
        <v>7</v>
      </c>
      <c r="F13">
        <v>7</v>
      </c>
      <c r="G13">
        <v>0</v>
      </c>
      <c r="H13">
        <v>1</v>
      </c>
      <c r="I13">
        <v>0</v>
      </c>
      <c r="J13">
        <v>0</v>
      </c>
      <c r="K13">
        <v>0</v>
      </c>
      <c r="L13">
        <v>7</v>
      </c>
      <c r="M13">
        <v>8</v>
      </c>
      <c r="N13">
        <v>14</v>
      </c>
      <c r="O13" t="s">
        <v>68</v>
      </c>
    </row>
    <row r="14" spans="1:16" x14ac:dyDescent="0.3">
      <c r="E14" s="2">
        <f>SUM(E2:E13)</f>
        <v>44</v>
      </c>
      <c r="F14" s="2">
        <f t="shared" ref="F14:M14" si="0">SUM(F2:F13)</f>
        <v>18</v>
      </c>
      <c r="G14" s="2">
        <f t="shared" si="0"/>
        <v>1</v>
      </c>
      <c r="H14" s="2">
        <f t="shared" si="0"/>
        <v>8</v>
      </c>
      <c r="I14" s="2">
        <f t="shared" si="0"/>
        <v>1</v>
      </c>
      <c r="J14" s="2">
        <f t="shared" si="0"/>
        <v>3</v>
      </c>
      <c r="K14" s="2">
        <f t="shared" si="0"/>
        <v>1</v>
      </c>
      <c r="L14" s="2">
        <f t="shared" si="0"/>
        <v>20</v>
      </c>
      <c r="M14" s="2">
        <f t="shared" si="0"/>
        <v>31</v>
      </c>
      <c r="N14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abSelected="1" workbookViewId="0">
      <selection activeCell="L15" sqref="L15"/>
    </sheetView>
  </sheetViews>
  <sheetFormatPr defaultRowHeight="14.4" x14ac:dyDescent="0.3"/>
  <sheetData>
    <row r="1" spans="1:12" x14ac:dyDescent="0.3">
      <c r="A1" s="1" t="s">
        <v>18</v>
      </c>
      <c r="B1" s="1" t="s">
        <v>1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17</v>
      </c>
    </row>
    <row r="2" spans="1:12" x14ac:dyDescent="0.3">
      <c r="A2" t="s">
        <v>22</v>
      </c>
    </row>
    <row r="3" spans="1:12" x14ac:dyDescent="0.3">
      <c r="A3" t="s">
        <v>23</v>
      </c>
    </row>
    <row r="4" spans="1:12" x14ac:dyDescent="0.3">
      <c r="A4" t="s">
        <v>24</v>
      </c>
    </row>
    <row r="5" spans="1:12" x14ac:dyDescent="0.3">
      <c r="A5" t="s">
        <v>26</v>
      </c>
      <c r="B5" t="s">
        <v>19</v>
      </c>
      <c r="C5" t="s">
        <v>25</v>
      </c>
      <c r="D5" t="s">
        <v>67</v>
      </c>
      <c r="E5" t="s">
        <v>49</v>
      </c>
      <c r="F5" t="s">
        <v>21</v>
      </c>
      <c r="G5">
        <v>5</v>
      </c>
      <c r="H5">
        <v>0.7</v>
      </c>
      <c r="I5">
        <v>2.2480000000000002</v>
      </c>
      <c r="J5">
        <v>0.432</v>
      </c>
      <c r="K5">
        <v>3.38</v>
      </c>
      <c r="L5">
        <v>6</v>
      </c>
    </row>
    <row r="6" spans="1:12" x14ac:dyDescent="0.3">
      <c r="A6" t="s">
        <v>28</v>
      </c>
      <c r="B6" t="s">
        <v>19</v>
      </c>
      <c r="C6" t="s">
        <v>27</v>
      </c>
      <c r="D6" t="s">
        <v>67</v>
      </c>
      <c r="E6" t="s">
        <v>49</v>
      </c>
      <c r="F6" t="s">
        <v>21</v>
      </c>
      <c r="G6">
        <v>6</v>
      </c>
      <c r="H6">
        <v>2.411</v>
      </c>
      <c r="I6">
        <v>2.7839999999999998</v>
      </c>
      <c r="J6">
        <v>1.6319999999999999</v>
      </c>
      <c r="K6">
        <v>6.827</v>
      </c>
      <c r="L6">
        <v>7</v>
      </c>
    </row>
    <row r="7" spans="1:12" x14ac:dyDescent="0.3">
      <c r="A7" t="s">
        <v>30</v>
      </c>
      <c r="B7" t="s">
        <v>19</v>
      </c>
      <c r="C7" t="s">
        <v>29</v>
      </c>
      <c r="D7" t="s">
        <v>67</v>
      </c>
      <c r="E7" t="s">
        <v>49</v>
      </c>
      <c r="F7" t="s">
        <v>21</v>
      </c>
      <c r="G7">
        <v>5</v>
      </c>
      <c r="H7">
        <v>0.60499999999999998</v>
      </c>
      <c r="I7">
        <v>5.0069999999999997</v>
      </c>
      <c r="J7">
        <v>1.2</v>
      </c>
      <c r="K7">
        <v>6.8120000000000003</v>
      </c>
      <c r="L7">
        <v>8</v>
      </c>
    </row>
    <row r="8" spans="1:12" x14ac:dyDescent="0.3">
      <c r="A8" t="s">
        <v>32</v>
      </c>
      <c r="B8" t="s">
        <v>19</v>
      </c>
      <c r="C8" t="s">
        <v>31</v>
      </c>
      <c r="D8" t="s">
        <v>67</v>
      </c>
      <c r="E8" t="s">
        <v>49</v>
      </c>
      <c r="F8" t="s">
        <v>21</v>
      </c>
      <c r="G8">
        <v>6</v>
      </c>
      <c r="H8">
        <v>1.9730000000000001</v>
      </c>
      <c r="I8">
        <v>4.9260000000000002</v>
      </c>
      <c r="J8">
        <v>3.024</v>
      </c>
      <c r="K8">
        <v>9.923</v>
      </c>
      <c r="L8">
        <v>9</v>
      </c>
    </row>
    <row r="9" spans="1:12" x14ac:dyDescent="0.3">
      <c r="A9" t="s">
        <v>34</v>
      </c>
      <c r="B9" t="s">
        <v>19</v>
      </c>
      <c r="C9" t="s">
        <v>33</v>
      </c>
      <c r="D9" t="s">
        <v>67</v>
      </c>
      <c r="E9" t="s">
        <v>49</v>
      </c>
      <c r="F9" t="s">
        <v>21</v>
      </c>
      <c r="G9">
        <v>5</v>
      </c>
      <c r="H9">
        <v>1.0209999999999999</v>
      </c>
      <c r="I9">
        <v>3.4590000000000001</v>
      </c>
      <c r="J9">
        <v>0.52800000000000002</v>
      </c>
      <c r="K9">
        <v>5.008</v>
      </c>
      <c r="L9">
        <v>10</v>
      </c>
    </row>
    <row r="10" spans="1:12" x14ac:dyDescent="0.3">
      <c r="A10" t="s">
        <v>37</v>
      </c>
    </row>
    <row r="11" spans="1:12" x14ac:dyDescent="0.3">
      <c r="A11" t="s">
        <v>38</v>
      </c>
      <c r="B11" t="s">
        <v>19</v>
      </c>
      <c r="C11" t="s">
        <v>35</v>
      </c>
      <c r="D11" t="s">
        <v>67</v>
      </c>
      <c r="E11" t="s">
        <v>49</v>
      </c>
      <c r="F11" t="s">
        <v>21</v>
      </c>
      <c r="G11">
        <v>5</v>
      </c>
      <c r="H11">
        <v>0.2</v>
      </c>
      <c r="I11">
        <v>1.0580000000000001</v>
      </c>
      <c r="J11">
        <v>2.7360000000000002</v>
      </c>
      <c r="K11">
        <v>3.9940000000000002</v>
      </c>
      <c r="L11">
        <v>12</v>
      </c>
    </row>
    <row r="12" spans="1:12" x14ac:dyDescent="0.3">
      <c r="A12" t="s">
        <v>39</v>
      </c>
    </row>
    <row r="13" spans="1:12" x14ac:dyDescent="0.3">
      <c r="A13" t="s">
        <v>68</v>
      </c>
      <c r="B13" t="s">
        <v>19</v>
      </c>
      <c r="C13" t="s">
        <v>69</v>
      </c>
      <c r="D13" t="s">
        <v>67</v>
      </c>
      <c r="E13" t="s">
        <v>49</v>
      </c>
      <c r="F13" t="s">
        <v>21</v>
      </c>
      <c r="G13">
        <v>7</v>
      </c>
      <c r="H13">
        <v>4.9610000000000003</v>
      </c>
      <c r="I13">
        <v>0.35299999999999998</v>
      </c>
      <c r="J13">
        <v>3.234</v>
      </c>
      <c r="K13">
        <v>8.548</v>
      </c>
      <c r="L13">
        <v>14</v>
      </c>
    </row>
    <row r="14" spans="1:12" x14ac:dyDescent="0.3">
      <c r="G14">
        <f>SUM(G2:G13)</f>
        <v>39</v>
      </c>
      <c r="H14">
        <f>AVERAGE(H2:H13)</f>
        <v>1.695857142857143</v>
      </c>
      <c r="I14">
        <f t="shared" ref="I14:K14" si="0">AVERAGE(I2:I13)</f>
        <v>2.8335714285714286</v>
      </c>
      <c r="J14">
        <f t="shared" si="0"/>
        <v>1.8265714285714287</v>
      </c>
      <c r="K14">
        <f t="shared" si="0"/>
        <v>6.3560000000000008</v>
      </c>
      <c r="L1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2025-06-20T17:30:53Z</dcterms:modified>
</cp:coreProperties>
</file>