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hailendra Thakur\Desktop\Website\PPL\PPL Season's\player info with totals and averages\"/>
    </mc:Choice>
  </mc:AlternateContent>
  <xr:revisionPtr revIDLastSave="0" documentId="13_ncr:1_{2A9FE101-A5EA-4DE9-B49F-5F15FDAEC95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atting" sheetId="1" r:id="rId1"/>
    <sheet name="Bowling" sheetId="2" r:id="rId2"/>
    <sheet name="Fielding" sheetId="3" r:id="rId3"/>
    <sheet name="MV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" i="4" l="1"/>
  <c r="J14" i="4"/>
  <c r="K14" i="4"/>
  <c r="H14" i="4"/>
  <c r="G14" i="4"/>
  <c r="F14" i="3"/>
  <c r="G14" i="3"/>
  <c r="H14" i="3"/>
  <c r="I14" i="3"/>
  <c r="J14" i="3"/>
  <c r="K14" i="3"/>
  <c r="L14" i="3"/>
  <c r="M14" i="3"/>
  <c r="E14" i="3"/>
  <c r="P14" i="2"/>
  <c r="N14" i="2"/>
  <c r="M14" i="2"/>
  <c r="L14" i="2"/>
  <c r="K14" i="2"/>
  <c r="J14" i="2"/>
  <c r="G14" i="2"/>
  <c r="H14" i="2"/>
  <c r="I14" i="2"/>
  <c r="F14" i="2"/>
  <c r="N14" i="1"/>
  <c r="O14" i="1"/>
  <c r="P14" i="1"/>
  <c r="Q14" i="1"/>
  <c r="L14" i="1"/>
  <c r="K14" i="1"/>
  <c r="J14" i="1"/>
  <c r="I14" i="1"/>
  <c r="F14" i="1"/>
  <c r="G14" i="1"/>
  <c r="H14" i="1"/>
  <c r="E14" i="1"/>
</calcChain>
</file>

<file path=xl/sharedStrings.xml><?xml version="1.0" encoding="utf-8"?>
<sst xmlns="http://schemas.openxmlformats.org/spreadsheetml/2006/main" count="234" uniqueCount="73">
  <si>
    <t>player_id</t>
  </si>
  <si>
    <t>name</t>
  </si>
  <si>
    <t>team_id</t>
  </si>
  <si>
    <t>team_name</t>
  </si>
  <si>
    <t>total_match</t>
  </si>
  <si>
    <t>innings</t>
  </si>
  <si>
    <t>total_runs</t>
  </si>
  <si>
    <t>highest_run</t>
  </si>
  <si>
    <t>average</t>
  </si>
  <si>
    <t>not_out</t>
  </si>
  <si>
    <t>strike_rate</t>
  </si>
  <si>
    <t>ball_faced</t>
  </si>
  <si>
    <t>batting_hand</t>
  </si>
  <si>
    <t>4s</t>
  </si>
  <si>
    <t>6s</t>
  </si>
  <si>
    <t>50s</t>
  </si>
  <si>
    <t>100s</t>
  </si>
  <si>
    <t>SEASON</t>
  </si>
  <si>
    <t>Season</t>
  </si>
  <si>
    <t>Naveen</t>
  </si>
  <si>
    <t>Ball Busters</t>
  </si>
  <si>
    <t>-</t>
  </si>
  <si>
    <t>LHB</t>
  </si>
  <si>
    <t>S3</t>
  </si>
  <si>
    <t>Onyx</t>
  </si>
  <si>
    <t>S4</t>
  </si>
  <si>
    <t>S5</t>
  </si>
  <si>
    <t>S6</t>
  </si>
  <si>
    <t>S7</t>
  </si>
  <si>
    <t>PINAK</t>
  </si>
  <si>
    <t>S8</t>
  </si>
  <si>
    <t>Meghnad</t>
  </si>
  <si>
    <t>S9</t>
  </si>
  <si>
    <t>Meghnaad</t>
  </si>
  <si>
    <t>S10</t>
  </si>
  <si>
    <t>Vishwaroop</t>
  </si>
  <si>
    <t>S11</t>
  </si>
  <si>
    <t>TEAM Chatrapati Shivaji Maharaj</t>
  </si>
  <si>
    <t>S12</t>
  </si>
  <si>
    <t>S13</t>
  </si>
  <si>
    <t>total_wickets</t>
  </si>
  <si>
    <t>balls</t>
  </si>
  <si>
    <t>economy</t>
  </si>
  <si>
    <t>SR</t>
  </si>
  <si>
    <t>maidens</t>
  </si>
  <si>
    <t>avg</t>
  </si>
  <si>
    <t>runs</t>
  </si>
  <si>
    <t>bowling_style</t>
  </si>
  <si>
    <t>overs</t>
  </si>
  <si>
    <t>Right-arm medium</t>
  </si>
  <si>
    <t>catches</t>
  </si>
  <si>
    <t>caught_behind</t>
  </si>
  <si>
    <t>run_outs</t>
  </si>
  <si>
    <t>assist_run_outs</t>
  </si>
  <si>
    <t>stumpings</t>
  </si>
  <si>
    <t>caught_and_bowl</t>
  </si>
  <si>
    <t>total_catches</t>
  </si>
  <si>
    <t>total_dismissal</t>
  </si>
  <si>
    <t>Team Name</t>
  </si>
  <si>
    <t>Player Role</t>
  </si>
  <si>
    <t>Bowling Style</t>
  </si>
  <si>
    <t>Batting Hand</t>
  </si>
  <si>
    <t>Matches</t>
  </si>
  <si>
    <t>Batting</t>
  </si>
  <si>
    <t>Bowling</t>
  </si>
  <si>
    <t>Fielding</t>
  </si>
  <si>
    <t>Total</t>
  </si>
  <si>
    <t>S14</t>
  </si>
  <si>
    <t>Maratha Battalian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</si>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</sst>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"/>
  <sheetViews>
    <sheetView workbookViewId="0">
      <selection activeCell="R16" sqref="R16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 x14ac:dyDescent="0.3">
      <c r="A2">
        <v>16289825</v>
      </c>
      <c r="B2" t="s">
        <v>19</v>
      </c>
      <c r="C2">
        <v>3456603</v>
      </c>
      <c r="D2" t="s">
        <v>20</v>
      </c>
      <c r="E2">
        <v>5</v>
      </c>
      <c r="F2">
        <v>3</v>
      </c>
      <c r="G2">
        <v>19</v>
      </c>
      <c r="H2">
        <v>12</v>
      </c>
      <c r="I2" t="s">
        <v>21</v>
      </c>
      <c r="J2">
        <v>3</v>
      </c>
      <c r="K2">
        <v>126.67</v>
      </c>
      <c r="L2">
        <v>15</v>
      </c>
      <c r="M2" t="s">
        <v>22</v>
      </c>
      <c r="N2">
        <v>0</v>
      </c>
      <c r="O2">
        <v>3</v>
      </c>
      <c r="P2">
        <v>0</v>
      </c>
      <c r="Q2">
        <v>0</v>
      </c>
      <c r="R2">
        <v>3</v>
      </c>
      <c r="S2" t="s">
        <v>23</v>
      </c>
    </row>
    <row r="3" spans="1:20" x14ac:dyDescent="0.3">
      <c r="A3">
        <v>16289825</v>
      </c>
      <c r="B3" t="s">
        <v>19</v>
      </c>
      <c r="C3">
        <v>3824970</v>
      </c>
      <c r="D3" t="s">
        <v>24</v>
      </c>
      <c r="E3">
        <v>5</v>
      </c>
      <c r="F3">
        <v>4</v>
      </c>
      <c r="G3">
        <v>36</v>
      </c>
      <c r="H3">
        <v>18</v>
      </c>
      <c r="I3">
        <v>18</v>
      </c>
      <c r="J3">
        <v>2</v>
      </c>
      <c r="K3">
        <v>189.47</v>
      </c>
      <c r="L3">
        <v>19</v>
      </c>
      <c r="M3" t="s">
        <v>22</v>
      </c>
      <c r="N3">
        <v>3</v>
      </c>
      <c r="O3">
        <v>3</v>
      </c>
      <c r="P3">
        <v>0</v>
      </c>
      <c r="Q3">
        <v>0</v>
      </c>
      <c r="R3">
        <v>4</v>
      </c>
      <c r="S3" t="s">
        <v>25</v>
      </c>
    </row>
    <row r="4" spans="1:20" x14ac:dyDescent="0.3">
      <c r="S4" t="s">
        <v>26</v>
      </c>
    </row>
    <row r="5" spans="1:20" x14ac:dyDescent="0.3">
      <c r="S5" t="s">
        <v>27</v>
      </c>
    </row>
    <row r="6" spans="1:20" x14ac:dyDescent="0.3">
      <c r="S6" t="s">
        <v>28</v>
      </c>
    </row>
    <row r="7" spans="1:20" x14ac:dyDescent="0.3">
      <c r="A7">
        <v>16289825</v>
      </c>
      <c r="B7" t="s">
        <v>19</v>
      </c>
      <c r="C7">
        <v>5522372</v>
      </c>
      <c r="D7" t="s">
        <v>29</v>
      </c>
      <c r="E7">
        <v>7</v>
      </c>
      <c r="F7">
        <v>7</v>
      </c>
      <c r="G7">
        <v>68</v>
      </c>
      <c r="H7">
        <v>28</v>
      </c>
      <c r="I7">
        <v>13.6</v>
      </c>
      <c r="J7">
        <v>2</v>
      </c>
      <c r="K7">
        <v>83.95</v>
      </c>
      <c r="L7">
        <v>81</v>
      </c>
      <c r="M7" t="s">
        <v>22</v>
      </c>
      <c r="N7">
        <v>5</v>
      </c>
      <c r="O7">
        <v>4</v>
      </c>
      <c r="P7">
        <v>0</v>
      </c>
      <c r="Q7">
        <v>0</v>
      </c>
      <c r="R7">
        <v>8</v>
      </c>
      <c r="S7" t="s">
        <v>30</v>
      </c>
    </row>
    <row r="8" spans="1:20" x14ac:dyDescent="0.3">
      <c r="A8">
        <v>16289825</v>
      </c>
      <c r="B8" t="s">
        <v>19</v>
      </c>
      <c r="C8">
        <v>6413869</v>
      </c>
      <c r="D8" t="s">
        <v>31</v>
      </c>
      <c r="E8">
        <v>6</v>
      </c>
      <c r="F8">
        <v>6</v>
      </c>
      <c r="G8">
        <v>48</v>
      </c>
      <c r="H8">
        <v>16</v>
      </c>
      <c r="I8">
        <v>8</v>
      </c>
      <c r="J8">
        <v>0</v>
      </c>
      <c r="K8">
        <v>123.08</v>
      </c>
      <c r="L8">
        <v>39</v>
      </c>
      <c r="M8" t="s">
        <v>22</v>
      </c>
      <c r="N8">
        <v>2</v>
      </c>
      <c r="O8">
        <v>5</v>
      </c>
      <c r="P8">
        <v>0</v>
      </c>
      <c r="Q8">
        <v>0</v>
      </c>
      <c r="R8">
        <v>9</v>
      </c>
      <c r="S8" t="s">
        <v>32</v>
      </c>
    </row>
    <row r="9" spans="1:20" x14ac:dyDescent="0.3">
      <c r="A9">
        <v>16289825</v>
      </c>
      <c r="B9" t="s">
        <v>19</v>
      </c>
      <c r="C9">
        <v>7266234</v>
      </c>
      <c r="D9" t="s">
        <v>33</v>
      </c>
      <c r="E9">
        <v>7</v>
      </c>
      <c r="F9">
        <v>5</v>
      </c>
      <c r="G9">
        <v>35</v>
      </c>
      <c r="H9">
        <v>21</v>
      </c>
      <c r="I9">
        <v>8.75</v>
      </c>
      <c r="J9">
        <v>1</v>
      </c>
      <c r="K9">
        <v>102.94</v>
      </c>
      <c r="L9">
        <v>34</v>
      </c>
      <c r="M9" t="s">
        <v>22</v>
      </c>
      <c r="N9">
        <v>1</v>
      </c>
      <c r="O9">
        <v>4</v>
      </c>
      <c r="P9">
        <v>0</v>
      </c>
      <c r="Q9">
        <v>0</v>
      </c>
      <c r="R9">
        <v>10</v>
      </c>
      <c r="S9" t="s">
        <v>34</v>
      </c>
    </row>
    <row r="10" spans="1:20" x14ac:dyDescent="0.3">
      <c r="A10">
        <v>16289825</v>
      </c>
      <c r="B10" t="s">
        <v>19</v>
      </c>
      <c r="C10">
        <v>7715473</v>
      </c>
      <c r="D10" t="s">
        <v>35</v>
      </c>
      <c r="E10">
        <v>7</v>
      </c>
      <c r="F10">
        <v>7</v>
      </c>
      <c r="G10">
        <v>50</v>
      </c>
      <c r="H10">
        <v>17</v>
      </c>
      <c r="I10">
        <v>7.14</v>
      </c>
      <c r="J10">
        <v>0</v>
      </c>
      <c r="K10">
        <v>108.7</v>
      </c>
      <c r="L10">
        <v>46</v>
      </c>
      <c r="M10" t="s">
        <v>22</v>
      </c>
      <c r="N10">
        <v>5</v>
      </c>
      <c r="O10">
        <v>4</v>
      </c>
      <c r="P10">
        <v>0</v>
      </c>
      <c r="Q10">
        <v>0</v>
      </c>
      <c r="R10">
        <v>11</v>
      </c>
      <c r="S10" t="s">
        <v>36</v>
      </c>
    </row>
    <row r="11" spans="1:20" x14ac:dyDescent="0.3">
      <c r="A11">
        <v>16289825</v>
      </c>
      <c r="B11" t="s">
        <v>19</v>
      </c>
      <c r="C11">
        <v>8337652</v>
      </c>
      <c r="D11" t="s">
        <v>37</v>
      </c>
      <c r="E11">
        <v>7</v>
      </c>
      <c r="F11">
        <v>7</v>
      </c>
      <c r="G11">
        <v>148</v>
      </c>
      <c r="H11">
        <v>52</v>
      </c>
      <c r="I11">
        <v>24.67</v>
      </c>
      <c r="J11">
        <v>1</v>
      </c>
      <c r="K11">
        <v>202.74</v>
      </c>
      <c r="L11">
        <v>73</v>
      </c>
      <c r="M11" t="s">
        <v>22</v>
      </c>
      <c r="N11">
        <v>12</v>
      </c>
      <c r="O11">
        <v>15</v>
      </c>
      <c r="P11">
        <v>1</v>
      </c>
      <c r="Q11">
        <v>0</v>
      </c>
      <c r="R11">
        <v>12</v>
      </c>
      <c r="S11" t="s">
        <v>38</v>
      </c>
    </row>
    <row r="12" spans="1:20" x14ac:dyDescent="0.3">
      <c r="A12">
        <v>16289825</v>
      </c>
      <c r="B12" t="s">
        <v>19</v>
      </c>
      <c r="C12">
        <v>9129682</v>
      </c>
      <c r="D12" t="s">
        <v>37</v>
      </c>
      <c r="E12">
        <v>6</v>
      </c>
      <c r="F12">
        <v>6</v>
      </c>
      <c r="G12">
        <v>7</v>
      </c>
      <c r="H12">
        <v>6</v>
      </c>
      <c r="I12">
        <v>1.17</v>
      </c>
      <c r="J12">
        <v>0</v>
      </c>
      <c r="K12">
        <v>43.75</v>
      </c>
      <c r="L12">
        <v>16</v>
      </c>
      <c r="M12" t="s">
        <v>22</v>
      </c>
      <c r="N12">
        <v>0</v>
      </c>
      <c r="O12">
        <v>1</v>
      </c>
      <c r="P12">
        <v>0</v>
      </c>
      <c r="Q12">
        <v>0</v>
      </c>
      <c r="R12">
        <v>13</v>
      </c>
      <c r="S12" t="s">
        <v>39</v>
      </c>
    </row>
    <row r="13" spans="1:20" x14ac:dyDescent="0.3">
      <c r="A13">
        <v>16289825</v>
      </c>
      <c r="B13" t="s">
        <v>19</v>
      </c>
      <c r="C13">
        <v>10228695</v>
      </c>
      <c r="D13" t="s">
        <v>68</v>
      </c>
      <c r="E13">
        <v>5</v>
      </c>
      <c r="F13">
        <v>5</v>
      </c>
      <c r="G13">
        <v>51</v>
      </c>
      <c r="H13">
        <v>19</v>
      </c>
      <c r="I13">
        <v>17</v>
      </c>
      <c r="J13">
        <v>2</v>
      </c>
      <c r="K13">
        <v>115.91</v>
      </c>
      <c r="L13">
        <v>44</v>
      </c>
      <c r="M13" t="s">
        <v>22</v>
      </c>
      <c r="N13">
        <v>3</v>
      </c>
      <c r="O13">
        <v>5</v>
      </c>
      <c r="P13">
        <v>0</v>
      </c>
      <c r="Q13">
        <v>0</v>
      </c>
      <c r="R13">
        <v>14</v>
      </c>
      <c r="S13" t="s">
        <v>67</v>
      </c>
    </row>
    <row r="14" spans="1:20" x14ac:dyDescent="0.3">
      <c r="E14" s="2">
        <f>SUM(E2:E13)</f>
        <v>55</v>
      </c>
      <c r="F14" s="2">
        <f t="shared" ref="F14:H14" si="0">SUM(F2:F13)</f>
        <v>50</v>
      </c>
      <c r="G14" s="2">
        <f t="shared" si="0"/>
        <v>462</v>
      </c>
      <c r="H14" s="2">
        <f t="shared" si="0"/>
        <v>189</v>
      </c>
      <c r="I14" s="2">
        <f>AVERAGE(I3:I13)</f>
        <v>12.29125</v>
      </c>
      <c r="J14" s="2">
        <f>SUM(J2:J13)</f>
        <v>11</v>
      </c>
      <c r="K14" s="2">
        <f>AVERAGE(K2:K13)</f>
        <v>121.91222222222223</v>
      </c>
      <c r="L14" s="2">
        <f>SUM(L2:L13)</f>
        <v>367</v>
      </c>
      <c r="M14" s="2"/>
      <c r="N14" s="2">
        <f t="shared" ref="M14:Q14" si="1">SUM(N2:N13)</f>
        <v>31</v>
      </c>
      <c r="O14" s="2">
        <f t="shared" si="1"/>
        <v>44</v>
      </c>
      <c r="P14" s="2">
        <f t="shared" si="1"/>
        <v>1</v>
      </c>
      <c r="Q14" s="2">
        <f t="shared" si="1"/>
        <v>0</v>
      </c>
      <c r="R14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"/>
  <sheetViews>
    <sheetView workbookViewId="0">
      <selection activeCell="Q14" sqref="Q14"/>
    </sheetView>
  </sheetViews>
  <sheetFormatPr defaultRowHeight="14.4" x14ac:dyDescent="0.3"/>
  <sheetData>
    <row r="1" spans="1:17" x14ac:dyDescent="0.3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17</v>
      </c>
    </row>
    <row r="2" spans="1:17" x14ac:dyDescent="0.3">
      <c r="A2" t="s">
        <v>23</v>
      </c>
    </row>
    <row r="3" spans="1:17" x14ac:dyDescent="0.3">
      <c r="A3" t="s">
        <v>25</v>
      </c>
      <c r="B3">
        <v>16289825</v>
      </c>
      <c r="C3" t="s">
        <v>19</v>
      </c>
      <c r="D3">
        <v>3824970</v>
      </c>
      <c r="E3" t="s">
        <v>24</v>
      </c>
      <c r="F3">
        <v>5</v>
      </c>
      <c r="G3">
        <v>5</v>
      </c>
      <c r="H3">
        <v>2</v>
      </c>
      <c r="I3">
        <v>36</v>
      </c>
      <c r="J3">
        <v>6.17</v>
      </c>
      <c r="K3">
        <v>18</v>
      </c>
      <c r="L3">
        <v>0</v>
      </c>
      <c r="M3">
        <v>18.5</v>
      </c>
      <c r="N3">
        <v>37</v>
      </c>
      <c r="O3" t="s">
        <v>49</v>
      </c>
      <c r="P3">
        <v>6</v>
      </c>
      <c r="Q3">
        <v>4</v>
      </c>
    </row>
    <row r="4" spans="1:17" x14ac:dyDescent="0.3">
      <c r="A4" t="s">
        <v>26</v>
      </c>
    </row>
    <row r="5" spans="1:17" x14ac:dyDescent="0.3">
      <c r="A5" t="s">
        <v>27</v>
      </c>
    </row>
    <row r="6" spans="1:17" x14ac:dyDescent="0.3">
      <c r="A6" t="s">
        <v>28</v>
      </c>
    </row>
    <row r="7" spans="1:17" x14ac:dyDescent="0.3">
      <c r="A7" t="s">
        <v>30</v>
      </c>
      <c r="B7">
        <v>16289825</v>
      </c>
      <c r="C7" t="s">
        <v>19</v>
      </c>
      <c r="D7">
        <v>5522372</v>
      </c>
      <c r="E7" t="s">
        <v>29</v>
      </c>
      <c r="F7">
        <v>7</v>
      </c>
      <c r="G7">
        <v>5</v>
      </c>
      <c r="H7">
        <v>2</v>
      </c>
      <c r="I7">
        <v>30</v>
      </c>
      <c r="J7">
        <v>9.1999999999999993</v>
      </c>
      <c r="K7">
        <v>15</v>
      </c>
      <c r="L7">
        <v>0</v>
      </c>
      <c r="M7">
        <v>23</v>
      </c>
      <c r="N7">
        <v>46</v>
      </c>
      <c r="O7" t="s">
        <v>49</v>
      </c>
      <c r="P7">
        <v>5</v>
      </c>
      <c r="Q7">
        <v>8</v>
      </c>
    </row>
    <row r="8" spans="1:17" x14ac:dyDescent="0.3">
      <c r="A8" t="s">
        <v>32</v>
      </c>
      <c r="B8">
        <v>16289825</v>
      </c>
      <c r="C8" t="s">
        <v>19</v>
      </c>
      <c r="D8">
        <v>6413869</v>
      </c>
      <c r="E8" t="s">
        <v>31</v>
      </c>
      <c r="F8">
        <v>6</v>
      </c>
      <c r="G8">
        <v>2</v>
      </c>
      <c r="H8">
        <v>0</v>
      </c>
      <c r="I8">
        <v>12</v>
      </c>
      <c r="J8">
        <v>14</v>
      </c>
      <c r="K8">
        <v>0</v>
      </c>
      <c r="L8">
        <v>0</v>
      </c>
      <c r="M8">
        <v>0</v>
      </c>
      <c r="N8">
        <v>28</v>
      </c>
      <c r="O8" t="s">
        <v>49</v>
      </c>
      <c r="P8">
        <v>2</v>
      </c>
      <c r="Q8">
        <v>9</v>
      </c>
    </row>
    <row r="9" spans="1:17" x14ac:dyDescent="0.3">
      <c r="A9" t="s">
        <v>34</v>
      </c>
      <c r="B9">
        <v>16289825</v>
      </c>
      <c r="C9" t="s">
        <v>19</v>
      </c>
      <c r="D9">
        <v>7266234</v>
      </c>
      <c r="E9" t="s">
        <v>33</v>
      </c>
      <c r="F9">
        <v>7</v>
      </c>
      <c r="G9">
        <v>1</v>
      </c>
      <c r="H9">
        <v>1</v>
      </c>
      <c r="I9">
        <v>6</v>
      </c>
      <c r="J9">
        <v>2</v>
      </c>
      <c r="K9">
        <v>6</v>
      </c>
      <c r="L9">
        <v>0</v>
      </c>
      <c r="M9">
        <v>2</v>
      </c>
      <c r="N9">
        <v>2</v>
      </c>
      <c r="O9" t="s">
        <v>49</v>
      </c>
      <c r="P9">
        <v>1</v>
      </c>
      <c r="Q9">
        <v>10</v>
      </c>
    </row>
    <row r="10" spans="1:17" x14ac:dyDescent="0.3">
      <c r="A10" t="s">
        <v>36</v>
      </c>
      <c r="B10">
        <v>16289825</v>
      </c>
      <c r="C10" t="s">
        <v>19</v>
      </c>
      <c r="D10">
        <v>7715473</v>
      </c>
      <c r="E10" t="s">
        <v>35</v>
      </c>
      <c r="F10">
        <v>7</v>
      </c>
      <c r="G10">
        <v>4</v>
      </c>
      <c r="H10">
        <v>1</v>
      </c>
      <c r="I10">
        <v>24</v>
      </c>
      <c r="J10">
        <v>10.25</v>
      </c>
      <c r="K10">
        <v>24</v>
      </c>
      <c r="L10">
        <v>0</v>
      </c>
      <c r="M10">
        <v>41</v>
      </c>
      <c r="N10">
        <v>41</v>
      </c>
      <c r="O10" t="s">
        <v>49</v>
      </c>
      <c r="P10">
        <v>4</v>
      </c>
      <c r="Q10">
        <v>11</v>
      </c>
    </row>
    <row r="11" spans="1:17" x14ac:dyDescent="0.3">
      <c r="A11" t="s">
        <v>38</v>
      </c>
      <c r="B11">
        <v>16289825</v>
      </c>
      <c r="C11" t="s">
        <v>19</v>
      </c>
      <c r="D11">
        <v>8337652</v>
      </c>
      <c r="E11" t="s">
        <v>37</v>
      </c>
      <c r="F11">
        <v>7</v>
      </c>
      <c r="G11">
        <v>3</v>
      </c>
      <c r="H11">
        <v>2</v>
      </c>
      <c r="I11">
        <v>18</v>
      </c>
      <c r="J11">
        <v>9.67</v>
      </c>
      <c r="K11">
        <v>9</v>
      </c>
      <c r="L11">
        <v>0</v>
      </c>
      <c r="M11">
        <v>14.5</v>
      </c>
      <c r="N11">
        <v>29</v>
      </c>
      <c r="O11" t="s">
        <v>49</v>
      </c>
      <c r="P11">
        <v>3</v>
      </c>
      <c r="Q11">
        <v>12</v>
      </c>
    </row>
    <row r="12" spans="1:17" x14ac:dyDescent="0.3">
      <c r="A12" t="s">
        <v>39</v>
      </c>
      <c r="B12">
        <v>16289825</v>
      </c>
      <c r="C12" t="s">
        <v>19</v>
      </c>
      <c r="D12">
        <v>9129682</v>
      </c>
      <c r="E12" t="s">
        <v>37</v>
      </c>
      <c r="F12">
        <v>6</v>
      </c>
      <c r="G12">
        <v>4</v>
      </c>
      <c r="H12">
        <v>4</v>
      </c>
      <c r="I12">
        <v>24</v>
      </c>
      <c r="J12">
        <v>7.75</v>
      </c>
      <c r="K12">
        <v>6</v>
      </c>
      <c r="L12">
        <v>0</v>
      </c>
      <c r="M12">
        <v>7.75</v>
      </c>
      <c r="N12">
        <v>31</v>
      </c>
      <c r="O12" t="s">
        <v>49</v>
      </c>
      <c r="P12">
        <v>4</v>
      </c>
      <c r="Q12">
        <v>13</v>
      </c>
    </row>
    <row r="13" spans="1:17" x14ac:dyDescent="0.3">
      <c r="A13" t="s">
        <v>67</v>
      </c>
      <c r="B13">
        <v>16289825</v>
      </c>
      <c r="C13" t="s">
        <v>19</v>
      </c>
      <c r="D13">
        <v>10228695</v>
      </c>
      <c r="E13" t="s">
        <v>68</v>
      </c>
      <c r="F13">
        <v>5</v>
      </c>
      <c r="G13">
        <v>3</v>
      </c>
      <c r="H13">
        <v>2</v>
      </c>
      <c r="I13">
        <v>18</v>
      </c>
      <c r="J13">
        <v>8</v>
      </c>
      <c r="K13">
        <v>9</v>
      </c>
      <c r="L13">
        <v>0</v>
      </c>
      <c r="M13">
        <v>12</v>
      </c>
      <c r="N13">
        <v>24</v>
      </c>
      <c r="O13" t="s">
        <v>49</v>
      </c>
      <c r="P13">
        <v>3</v>
      </c>
      <c r="Q13">
        <v>14</v>
      </c>
    </row>
    <row r="14" spans="1:17" x14ac:dyDescent="0.3">
      <c r="F14" s="2">
        <f>SUM(F3:F13)</f>
        <v>50</v>
      </c>
      <c r="G14" s="2">
        <f t="shared" ref="G14:I14" si="0">SUM(G3:G13)</f>
        <v>27</v>
      </c>
      <c r="H14" s="2">
        <f t="shared" si="0"/>
        <v>14</v>
      </c>
      <c r="I14" s="2">
        <f t="shared" si="0"/>
        <v>168</v>
      </c>
      <c r="J14" s="2">
        <f>AVERAGE(J3:J13)</f>
        <v>8.379999999999999</v>
      </c>
      <c r="K14" s="2">
        <f>AVERAGE(K3:K13)</f>
        <v>10.875</v>
      </c>
      <c r="L14" s="2">
        <f>SUM(L3:L13)</f>
        <v>0</v>
      </c>
      <c r="M14" s="2">
        <f>AVERAGE(M3:M13)</f>
        <v>14.84375</v>
      </c>
      <c r="N14" s="2">
        <f>SUM(N3:N13)</f>
        <v>238</v>
      </c>
      <c r="O14" s="2"/>
      <c r="P14" s="2">
        <f t="shared" ref="O14:P14" si="1">SUM(P3:P13)</f>
        <v>28</v>
      </c>
      <c r="Q14">
        <v>9</v>
      </c>
    </row>
  </sheetData>
  <pageMargins left="0.75" right="0.75" top="1" bottom="1" header="0.5" footer="0.5"/>
  <ignoredErrors>
    <ignoredError sqref="L1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"/>
  <sheetViews>
    <sheetView workbookViewId="0">
      <selection activeCell="L18" sqref="L18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17</v>
      </c>
      <c r="O1" s="1" t="s">
        <v>18</v>
      </c>
    </row>
    <row r="2" spans="1:15" x14ac:dyDescent="0.3">
      <c r="A2">
        <v>16289825</v>
      </c>
      <c r="B2" t="s">
        <v>19</v>
      </c>
      <c r="C2">
        <v>3456603</v>
      </c>
      <c r="D2" t="s">
        <v>20</v>
      </c>
      <c r="E2">
        <v>5</v>
      </c>
      <c r="F2">
        <v>2</v>
      </c>
      <c r="G2">
        <v>0</v>
      </c>
      <c r="H2">
        <v>2</v>
      </c>
      <c r="I2">
        <v>0</v>
      </c>
      <c r="J2">
        <v>0</v>
      </c>
      <c r="K2">
        <v>0</v>
      </c>
      <c r="L2">
        <v>2</v>
      </c>
      <c r="M2">
        <v>4</v>
      </c>
      <c r="N2">
        <v>3</v>
      </c>
      <c r="O2" t="s">
        <v>23</v>
      </c>
    </row>
    <row r="3" spans="1:15" x14ac:dyDescent="0.3">
      <c r="A3">
        <v>16289825</v>
      </c>
      <c r="B3" t="s">
        <v>19</v>
      </c>
      <c r="C3">
        <v>3824970</v>
      </c>
      <c r="D3" t="s">
        <v>24</v>
      </c>
      <c r="E3">
        <v>5</v>
      </c>
      <c r="F3">
        <v>0</v>
      </c>
      <c r="G3">
        <v>0</v>
      </c>
      <c r="H3">
        <v>2</v>
      </c>
      <c r="I3">
        <v>0</v>
      </c>
      <c r="J3">
        <v>0</v>
      </c>
      <c r="K3">
        <v>0</v>
      </c>
      <c r="L3">
        <v>0</v>
      </c>
      <c r="M3">
        <v>2</v>
      </c>
      <c r="N3">
        <v>4</v>
      </c>
      <c r="O3" t="s">
        <v>25</v>
      </c>
    </row>
    <row r="4" spans="1:15" x14ac:dyDescent="0.3">
      <c r="O4" t="s">
        <v>26</v>
      </c>
    </row>
    <row r="5" spans="1:15" x14ac:dyDescent="0.3">
      <c r="O5" t="s">
        <v>27</v>
      </c>
    </row>
    <row r="6" spans="1:15" x14ac:dyDescent="0.3">
      <c r="O6" t="s">
        <v>28</v>
      </c>
    </row>
    <row r="7" spans="1:15" x14ac:dyDescent="0.3">
      <c r="A7">
        <v>16289825</v>
      </c>
      <c r="B7" t="s">
        <v>19</v>
      </c>
      <c r="C7">
        <v>5522372</v>
      </c>
      <c r="D7" t="s">
        <v>29</v>
      </c>
      <c r="E7">
        <v>7</v>
      </c>
      <c r="F7">
        <v>3</v>
      </c>
      <c r="G7">
        <v>0</v>
      </c>
      <c r="H7">
        <v>0</v>
      </c>
      <c r="I7">
        <v>0</v>
      </c>
      <c r="J7">
        <v>0</v>
      </c>
      <c r="K7">
        <v>1</v>
      </c>
      <c r="L7">
        <v>4</v>
      </c>
      <c r="M7">
        <v>4</v>
      </c>
      <c r="N7">
        <v>8</v>
      </c>
      <c r="O7" t="s">
        <v>30</v>
      </c>
    </row>
    <row r="8" spans="1:15" x14ac:dyDescent="0.3">
      <c r="A8">
        <v>16289825</v>
      </c>
      <c r="B8" t="s">
        <v>19</v>
      </c>
      <c r="C8">
        <v>6413869</v>
      </c>
      <c r="D8" t="s">
        <v>31</v>
      </c>
      <c r="E8">
        <v>6</v>
      </c>
      <c r="F8">
        <v>2</v>
      </c>
      <c r="G8">
        <v>0</v>
      </c>
      <c r="H8">
        <v>1</v>
      </c>
      <c r="I8">
        <v>0</v>
      </c>
      <c r="J8">
        <v>0</v>
      </c>
      <c r="K8">
        <v>0</v>
      </c>
      <c r="L8">
        <v>2</v>
      </c>
      <c r="M8">
        <v>3</v>
      </c>
      <c r="N8">
        <v>9</v>
      </c>
      <c r="O8" t="s">
        <v>32</v>
      </c>
    </row>
    <row r="9" spans="1:15" x14ac:dyDescent="0.3">
      <c r="A9">
        <v>16289825</v>
      </c>
      <c r="B9" t="s">
        <v>19</v>
      </c>
      <c r="C9">
        <v>7266234</v>
      </c>
      <c r="D9" t="s">
        <v>33</v>
      </c>
      <c r="E9">
        <v>7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1</v>
      </c>
      <c r="N9">
        <v>10</v>
      </c>
      <c r="O9" t="s">
        <v>34</v>
      </c>
    </row>
    <row r="10" spans="1:15" x14ac:dyDescent="0.3">
      <c r="A10">
        <v>16289825</v>
      </c>
      <c r="B10" t="s">
        <v>19</v>
      </c>
      <c r="C10">
        <v>7715473</v>
      </c>
      <c r="D10" t="s">
        <v>35</v>
      </c>
      <c r="E10">
        <v>7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1</v>
      </c>
      <c r="N10">
        <v>11</v>
      </c>
      <c r="O10" t="s">
        <v>36</v>
      </c>
    </row>
    <row r="11" spans="1:15" x14ac:dyDescent="0.3">
      <c r="A11">
        <v>16289825</v>
      </c>
      <c r="B11" t="s">
        <v>19</v>
      </c>
      <c r="C11">
        <v>8337652</v>
      </c>
      <c r="D11" t="s">
        <v>37</v>
      </c>
      <c r="E11">
        <v>7</v>
      </c>
      <c r="F11">
        <v>2</v>
      </c>
      <c r="G11">
        <v>0</v>
      </c>
      <c r="H11">
        <v>1</v>
      </c>
      <c r="I11">
        <v>2</v>
      </c>
      <c r="J11">
        <v>0</v>
      </c>
      <c r="K11">
        <v>0</v>
      </c>
      <c r="L11">
        <v>2</v>
      </c>
      <c r="M11">
        <v>3</v>
      </c>
      <c r="N11">
        <v>12</v>
      </c>
      <c r="O11" t="s">
        <v>38</v>
      </c>
    </row>
    <row r="12" spans="1:15" x14ac:dyDescent="0.3">
      <c r="A12">
        <v>16289825</v>
      </c>
      <c r="B12" t="s">
        <v>19</v>
      </c>
      <c r="C12">
        <v>9129682</v>
      </c>
      <c r="D12" t="s">
        <v>37</v>
      </c>
      <c r="E12">
        <v>6</v>
      </c>
      <c r="F12">
        <v>3</v>
      </c>
      <c r="G12">
        <v>0</v>
      </c>
      <c r="H12">
        <v>0</v>
      </c>
      <c r="I12">
        <v>0</v>
      </c>
      <c r="J12">
        <v>0</v>
      </c>
      <c r="K12">
        <v>1</v>
      </c>
      <c r="L12">
        <v>4</v>
      </c>
      <c r="M12">
        <v>4</v>
      </c>
      <c r="N12">
        <v>13</v>
      </c>
      <c r="O12" t="s">
        <v>39</v>
      </c>
    </row>
    <row r="13" spans="1:15" x14ac:dyDescent="0.3">
      <c r="A13">
        <v>16289825</v>
      </c>
      <c r="B13" t="s">
        <v>19</v>
      </c>
      <c r="C13">
        <v>10228695</v>
      </c>
      <c r="D13" t="s">
        <v>68</v>
      </c>
      <c r="E13">
        <v>5</v>
      </c>
      <c r="F13">
        <v>1</v>
      </c>
      <c r="G13">
        <v>1</v>
      </c>
      <c r="H13">
        <v>4</v>
      </c>
      <c r="I13">
        <v>0</v>
      </c>
      <c r="J13">
        <v>1</v>
      </c>
      <c r="K13">
        <v>0</v>
      </c>
      <c r="L13">
        <v>2</v>
      </c>
      <c r="M13">
        <v>7</v>
      </c>
      <c r="N13">
        <v>14</v>
      </c>
      <c r="O13" t="s">
        <v>67</v>
      </c>
    </row>
    <row r="14" spans="1:15" x14ac:dyDescent="0.3">
      <c r="E14" s="2">
        <f>SUM(E2:E13)</f>
        <v>55</v>
      </c>
      <c r="F14" s="2">
        <f t="shared" ref="F14:M14" si="0">SUM(F2:F13)</f>
        <v>13</v>
      </c>
      <c r="G14" s="2">
        <f t="shared" si="0"/>
        <v>1</v>
      </c>
      <c r="H14" s="2">
        <f t="shared" si="0"/>
        <v>12</v>
      </c>
      <c r="I14" s="2">
        <f t="shared" si="0"/>
        <v>3</v>
      </c>
      <c r="J14" s="2">
        <f t="shared" si="0"/>
        <v>1</v>
      </c>
      <c r="K14" s="2">
        <f t="shared" si="0"/>
        <v>2</v>
      </c>
      <c r="L14" s="2">
        <f t="shared" si="0"/>
        <v>16</v>
      </c>
      <c r="M14" s="2">
        <f t="shared" si="0"/>
        <v>29</v>
      </c>
      <c r="N14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tabSelected="1" workbookViewId="0">
      <selection activeCell="I16" sqref="I16"/>
    </sheetView>
  </sheetViews>
  <sheetFormatPr defaultRowHeight="14.4" x14ac:dyDescent="0.3"/>
  <sheetData>
    <row r="1" spans="1:12" x14ac:dyDescent="0.3">
      <c r="A1" s="1" t="s">
        <v>18</v>
      </c>
      <c r="B1" s="1" t="s">
        <v>1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17</v>
      </c>
    </row>
    <row r="2" spans="1:12" x14ac:dyDescent="0.3">
      <c r="A2" t="s">
        <v>23</v>
      </c>
    </row>
    <row r="3" spans="1:12" x14ac:dyDescent="0.3">
      <c r="A3" t="s">
        <v>25</v>
      </c>
      <c r="B3" t="s">
        <v>19</v>
      </c>
      <c r="C3" t="s">
        <v>24</v>
      </c>
      <c r="E3" t="s">
        <v>49</v>
      </c>
      <c r="F3" t="s">
        <v>22</v>
      </c>
      <c r="G3">
        <v>5</v>
      </c>
      <c r="H3">
        <v>4.1100000000000003</v>
      </c>
      <c r="I3">
        <v>2.9860000000000002</v>
      </c>
      <c r="J3">
        <v>1.56</v>
      </c>
      <c r="K3">
        <v>8.6560000000000006</v>
      </c>
      <c r="L3">
        <v>4</v>
      </c>
    </row>
    <row r="4" spans="1:12" x14ac:dyDescent="0.3">
      <c r="A4" t="s">
        <v>26</v>
      </c>
    </row>
    <row r="5" spans="1:12" x14ac:dyDescent="0.3">
      <c r="A5" t="s">
        <v>27</v>
      </c>
    </row>
    <row r="6" spans="1:12" x14ac:dyDescent="0.3">
      <c r="A6" t="s">
        <v>28</v>
      </c>
    </row>
    <row r="7" spans="1:12" x14ac:dyDescent="0.3">
      <c r="A7" t="s">
        <v>30</v>
      </c>
      <c r="B7" t="s">
        <v>19</v>
      </c>
      <c r="C7" t="s">
        <v>29</v>
      </c>
      <c r="E7" t="s">
        <v>49</v>
      </c>
      <c r="F7" t="s">
        <v>22</v>
      </c>
      <c r="G7">
        <v>7</v>
      </c>
      <c r="H7">
        <v>6.8</v>
      </c>
      <c r="I7">
        <v>2.5489999999999999</v>
      </c>
      <c r="J7">
        <v>0.86399999999999999</v>
      </c>
      <c r="K7">
        <v>10.212999999999999</v>
      </c>
      <c r="L7">
        <v>8</v>
      </c>
    </row>
    <row r="8" spans="1:12" x14ac:dyDescent="0.3">
      <c r="A8" t="s">
        <v>32</v>
      </c>
      <c r="B8" t="s">
        <v>19</v>
      </c>
      <c r="C8" t="s">
        <v>31</v>
      </c>
      <c r="E8" t="s">
        <v>49</v>
      </c>
      <c r="F8" t="s">
        <v>22</v>
      </c>
      <c r="G8">
        <v>5</v>
      </c>
      <c r="H8">
        <v>4.8369999999999997</v>
      </c>
      <c r="I8">
        <v>4.9000000000000002E-2</v>
      </c>
      <c r="J8">
        <v>0.81</v>
      </c>
      <c r="K8">
        <v>5.6959999999999997</v>
      </c>
      <c r="L8">
        <v>9</v>
      </c>
    </row>
    <row r="9" spans="1:12" x14ac:dyDescent="0.3">
      <c r="A9" t="s">
        <v>34</v>
      </c>
      <c r="B9" t="s">
        <v>19</v>
      </c>
      <c r="C9" t="s">
        <v>33</v>
      </c>
      <c r="E9" t="s">
        <v>49</v>
      </c>
      <c r="F9" t="s">
        <v>22</v>
      </c>
      <c r="G9">
        <v>4</v>
      </c>
      <c r="H9">
        <v>3.5310000000000001</v>
      </c>
      <c r="I9">
        <v>1.1120000000000001</v>
      </c>
      <c r="J9">
        <v>0.48</v>
      </c>
      <c r="K9">
        <v>5.1230000000000002</v>
      </c>
      <c r="L9">
        <v>10</v>
      </c>
    </row>
    <row r="10" spans="1:12" x14ac:dyDescent="0.3">
      <c r="A10" t="s">
        <v>36</v>
      </c>
      <c r="B10" t="s">
        <v>19</v>
      </c>
      <c r="C10" t="s">
        <v>35</v>
      </c>
      <c r="E10" t="s">
        <v>49</v>
      </c>
      <c r="F10" t="s">
        <v>22</v>
      </c>
      <c r="G10">
        <v>6</v>
      </c>
      <c r="H10">
        <v>5.0289999999999999</v>
      </c>
      <c r="I10">
        <v>1.919</v>
      </c>
      <c r="J10">
        <v>1.56</v>
      </c>
      <c r="K10">
        <v>8.5079999999999991</v>
      </c>
      <c r="L10">
        <v>12</v>
      </c>
    </row>
    <row r="11" spans="1:12" x14ac:dyDescent="0.3">
      <c r="A11" t="s">
        <v>38</v>
      </c>
      <c r="B11" t="s">
        <v>19</v>
      </c>
      <c r="C11" t="s">
        <v>37</v>
      </c>
      <c r="E11" t="s">
        <v>49</v>
      </c>
      <c r="F11" t="s">
        <v>22</v>
      </c>
      <c r="G11">
        <v>7</v>
      </c>
      <c r="H11">
        <v>15.228</v>
      </c>
      <c r="I11">
        <v>2.72</v>
      </c>
      <c r="J11">
        <v>2.8319999999999999</v>
      </c>
      <c r="K11">
        <v>20.78</v>
      </c>
      <c r="L11">
        <v>12</v>
      </c>
    </row>
    <row r="12" spans="1:12" x14ac:dyDescent="0.3">
      <c r="A12" t="s">
        <v>39</v>
      </c>
      <c r="B12" t="s">
        <v>19</v>
      </c>
      <c r="C12" t="s">
        <v>37</v>
      </c>
      <c r="E12" t="s">
        <v>49</v>
      </c>
      <c r="F12" t="s">
        <v>22</v>
      </c>
      <c r="G12">
        <v>5</v>
      </c>
      <c r="H12">
        <v>0.70299999999999996</v>
      </c>
      <c r="I12">
        <v>5.0369999999999999</v>
      </c>
      <c r="J12">
        <v>0.96</v>
      </c>
      <c r="K12">
        <v>6.7</v>
      </c>
      <c r="L12">
        <v>13</v>
      </c>
    </row>
    <row r="13" spans="1:12" x14ac:dyDescent="0.3">
      <c r="A13" t="s">
        <v>67</v>
      </c>
      <c r="B13" t="s">
        <v>19</v>
      </c>
      <c r="C13" t="s">
        <v>68</v>
      </c>
      <c r="E13" t="s">
        <v>49</v>
      </c>
      <c r="F13" t="s">
        <v>22</v>
      </c>
      <c r="G13">
        <v>5</v>
      </c>
      <c r="H13">
        <v>5.1829999999999998</v>
      </c>
      <c r="I13">
        <v>1.8720000000000001</v>
      </c>
      <c r="J13">
        <v>3.8879999999999999</v>
      </c>
      <c r="K13">
        <v>10.943</v>
      </c>
      <c r="L13">
        <v>14</v>
      </c>
    </row>
    <row r="14" spans="1:12" x14ac:dyDescent="0.3">
      <c r="G14">
        <f>SUM(G2:G13)</f>
        <v>44</v>
      </c>
      <c r="H14">
        <f>AVERAGE(H2:H13)</f>
        <v>5.6776249999999999</v>
      </c>
      <c r="I14">
        <f t="shared" ref="I14:K14" si="0">AVERAGE(I2:I13)</f>
        <v>2.2805</v>
      </c>
      <c r="J14">
        <f t="shared" si="0"/>
        <v>1.6192499999999999</v>
      </c>
      <c r="K14">
        <f t="shared" si="0"/>
        <v>9.577375</v>
      </c>
      <c r="L14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Batting</vt:lpstr>
      <vt:lpstr>Bowling</vt:lpstr>
      <vt:lpstr>Fielding</vt:lpstr>
      <vt:lpstr>MVP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samay Thakur</cp:lastModifiedBy>
  <dcterms:created xsi:type="dcterms:W3CDTF">2025-04-10T06:15:33Z</dcterms:created>
  <dcterms:modified xsi:type="dcterms:W3CDTF">2025-06-20T16:52:57Z</dcterms:modified>
</cp:coreProperties>
</file>